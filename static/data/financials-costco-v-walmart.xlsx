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ones1\Documents\GitHub\stephen-l-jones.github.io\static\data\"/>
    </mc:Choice>
  </mc:AlternateContent>
  <xr:revisionPtr revIDLastSave="0" documentId="13_ncr:1_{FBAC5D0E-14F3-4B89-A344-FF7FE1910D48}" xr6:coauthVersionLast="47" xr6:coauthVersionMax="47" xr10:uidLastSave="{00000000-0000-0000-0000-000000000000}"/>
  <bookViews>
    <workbookView xWindow="38280" yWindow="-120" windowWidth="29040" windowHeight="16440" xr2:uid="{ECD0E294-2C0F-4441-99BC-BBB370861EF8}"/>
  </bookViews>
  <sheets>
    <sheet name="Ratios" sheetId="5" r:id="rId1"/>
    <sheet name="Costco income statement" sheetId="3" r:id="rId2"/>
    <sheet name="Costco balance sheet" sheetId="4" r:id="rId3"/>
    <sheet name="Walmart income statement" sheetId="1" r:id="rId4"/>
    <sheet name="Walmart balance she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5" l="1"/>
  <c r="E17" i="5" s="1"/>
  <c r="B17" i="5"/>
  <c r="D17" i="5" s="1"/>
  <c r="E5" i="5"/>
  <c r="E6" i="5"/>
  <c r="E21" i="5" s="1"/>
  <c r="E7" i="5"/>
  <c r="E22" i="5" s="1"/>
  <c r="E8" i="5"/>
  <c r="E20" i="5" s="1"/>
  <c r="D6" i="5"/>
  <c r="D5" i="5"/>
  <c r="C14" i="5"/>
  <c r="E14" i="5" s="1"/>
  <c r="C13" i="5"/>
  <c r="E13" i="5" s="1"/>
  <c r="C12" i="5"/>
  <c r="E12" i="5" s="1"/>
  <c r="C11" i="5"/>
  <c r="C10" i="5"/>
  <c r="C8" i="5"/>
  <c r="B8" i="5"/>
  <c r="D8" i="5" s="1"/>
  <c r="B19" i="1"/>
  <c r="C19" i="1"/>
  <c r="C14" i="3"/>
  <c r="B14" i="3"/>
  <c r="C7" i="5"/>
  <c r="C5" i="5"/>
  <c r="C6" i="5"/>
  <c r="D32" i="2"/>
  <c r="D31" i="2"/>
  <c r="D27" i="4"/>
  <c r="B14" i="5"/>
  <c r="D14" i="5" s="1"/>
  <c r="B13" i="5"/>
  <c r="B10" i="5"/>
  <c r="D10" i="5" s="1"/>
  <c r="B12" i="5"/>
  <c r="D12" i="5" s="1"/>
  <c r="B11" i="5"/>
  <c r="D11" i="5" s="1"/>
  <c r="B7" i="5"/>
  <c r="D7" i="5" s="1"/>
  <c r="B6" i="5"/>
  <c r="B5" i="5"/>
  <c r="C31" i="2"/>
  <c r="B31" i="2"/>
  <c r="D26" i="4"/>
  <c r="C26" i="4"/>
  <c r="B26" i="4"/>
  <c r="D5" i="4"/>
  <c r="D6" i="4"/>
  <c r="D7" i="4"/>
  <c r="D8" i="4"/>
  <c r="D27" i="2"/>
  <c r="D26" i="2"/>
  <c r="D25" i="2"/>
  <c r="D24" i="2"/>
  <c r="D23" i="2"/>
  <c r="D22" i="4"/>
  <c r="D21" i="4"/>
  <c r="D20" i="4"/>
  <c r="D24" i="4"/>
  <c r="D23" i="4"/>
  <c r="D19" i="4"/>
  <c r="D18" i="4"/>
  <c r="D17" i="4"/>
  <c r="D16" i="4"/>
  <c r="D15" i="4"/>
  <c r="D14" i="4"/>
  <c r="D13" i="4"/>
  <c r="D12" i="4"/>
  <c r="D11" i="4"/>
  <c r="D10" i="4"/>
  <c r="D9" i="4"/>
  <c r="D4" i="4"/>
  <c r="D4" i="2"/>
  <c r="C15" i="5" l="1"/>
  <c r="E15" i="5"/>
  <c r="C16" i="5"/>
  <c r="E10" i="5"/>
  <c r="B15" i="5"/>
  <c r="D15" i="5" s="1"/>
  <c r="D24" i="5" s="1"/>
  <c r="D13" i="5"/>
  <c r="E11" i="5"/>
  <c r="E25" i="5" s="1"/>
  <c r="E24" i="5"/>
  <c r="E26" i="5"/>
  <c r="D20" i="5"/>
  <c r="D21" i="5"/>
  <c r="D22" i="5"/>
  <c r="D25" i="5"/>
  <c r="D26" i="5"/>
  <c r="B16" i="5"/>
  <c r="D16" i="5" s="1"/>
  <c r="D19" i="5" s="1"/>
  <c r="E16" i="5" l="1"/>
  <c r="D23" i="5"/>
  <c r="D29" i="2"/>
  <c r="D28" i="2"/>
  <c r="D22" i="2"/>
  <c r="D21" i="2"/>
  <c r="D20" i="2"/>
  <c r="D19" i="2"/>
  <c r="D18" i="2"/>
  <c r="D17" i="2"/>
  <c r="D16" i="2"/>
  <c r="D15" i="2"/>
  <c r="D5" i="2"/>
  <c r="D6" i="2"/>
  <c r="D7" i="2"/>
  <c r="D8" i="2"/>
  <c r="D9" i="2"/>
  <c r="D10" i="2"/>
  <c r="D11" i="2"/>
  <c r="D12" i="2"/>
  <c r="D13" i="2"/>
  <c r="D14" i="2"/>
  <c r="E19" i="5" l="1"/>
  <c r="E23" i="5"/>
</calcChain>
</file>

<file path=xl/sharedStrings.xml><?xml version="1.0" encoding="utf-8"?>
<sst xmlns="http://schemas.openxmlformats.org/spreadsheetml/2006/main" count="128" uniqueCount="92">
  <si>
    <t>Income statement (in millions)</t>
  </si>
  <si>
    <t>Total revenues</t>
  </si>
  <si>
    <t>Cost of sales</t>
  </si>
  <si>
    <t>SG&amp;A expenses</t>
  </si>
  <si>
    <t>Operating income</t>
  </si>
  <si>
    <t>Interest, net</t>
  </si>
  <si>
    <t>Other (gains) and losses</t>
  </si>
  <si>
    <t>Income before income taxes</t>
  </si>
  <si>
    <t>Provision for income taxes</t>
  </si>
  <si>
    <t>Net income</t>
  </si>
  <si>
    <t>Year ending</t>
  </si>
  <si>
    <t>Cash and cash equivalents</t>
  </si>
  <si>
    <t>Receivables, net</t>
  </si>
  <si>
    <t>Inventories</t>
  </si>
  <si>
    <t>Prepaid expenses and other</t>
  </si>
  <si>
    <t>Total current assets</t>
  </si>
  <si>
    <t>Property and equipment, net</t>
  </si>
  <si>
    <t>Operating lease right-of-use assets</t>
  </si>
  <si>
    <t>Finance lease right-of-use assets, net</t>
  </si>
  <si>
    <t>Goodwill</t>
  </si>
  <si>
    <t>Other long-term assets</t>
  </si>
  <si>
    <t>Total assets</t>
  </si>
  <si>
    <t>Short-term borrowings</t>
  </si>
  <si>
    <t>Accounts payable</t>
  </si>
  <si>
    <t>Accrued liabilities</t>
  </si>
  <si>
    <t>Accrued income taxes</t>
  </si>
  <si>
    <t>Long-term debt due within one year</t>
  </si>
  <si>
    <t>Total current liabilities</t>
  </si>
  <si>
    <t>Total shareholders' equity</t>
  </si>
  <si>
    <t>Operating lease obligations due &lt;1 year</t>
  </si>
  <si>
    <t>Finance lease obligations due &lt;1 year</t>
  </si>
  <si>
    <t>Average</t>
  </si>
  <si>
    <t>Total liabilities &amp; shareholders' equity</t>
  </si>
  <si>
    <t>Balance sheet (in millions)</t>
  </si>
  <si>
    <t>For the year ending</t>
  </si>
  <si>
    <t>NOPAT</t>
  </si>
  <si>
    <t>Net sales</t>
  </si>
  <si>
    <t>Membership and other income</t>
  </si>
  <si>
    <t>Debt</t>
  </si>
  <si>
    <t>Finance lease</t>
  </si>
  <si>
    <t>Interest income</t>
  </si>
  <si>
    <t>Merchandise costs</t>
  </si>
  <si>
    <t>Interest expense</t>
  </si>
  <si>
    <t>Interest income and other, net</t>
  </si>
  <si>
    <t>Short-term investments</t>
  </si>
  <si>
    <t>Merchandise inventories</t>
  </si>
  <si>
    <t>Other current assets</t>
  </si>
  <si>
    <t>Current assets</t>
  </si>
  <si>
    <t>Accrued salaries and benefits</t>
  </si>
  <si>
    <t>Accrued membership rewards</t>
  </si>
  <si>
    <t>Deferred membership fees</t>
  </si>
  <si>
    <t>Other current liabilities</t>
  </si>
  <si>
    <t>Long-term operating lease liabilities</t>
  </si>
  <si>
    <t>Other long-term liabilities</t>
  </si>
  <si>
    <t>Long-term debt, excluding current</t>
  </si>
  <si>
    <t>Long-term debt</t>
  </si>
  <si>
    <t>Long-term operating lease obligations</t>
  </si>
  <si>
    <t>Long-term finance lease obligations</t>
  </si>
  <si>
    <t>Deferred income taxes and other</t>
  </si>
  <si>
    <t>Redeemable noncontrolling interest</t>
  </si>
  <si>
    <t>Excess cash</t>
  </si>
  <si>
    <t>Other data</t>
  </si>
  <si>
    <t>Other items (in millions)</t>
  </si>
  <si>
    <t>Total revenue</t>
  </si>
  <si>
    <t>COGS</t>
  </si>
  <si>
    <t>SG&amp;A</t>
  </si>
  <si>
    <t>Effective tax rate</t>
  </si>
  <si>
    <t>Costco</t>
  </si>
  <si>
    <t>Walmart</t>
  </si>
  <si>
    <t>Net PPE + leases</t>
  </si>
  <si>
    <t>NIBCLs</t>
  </si>
  <si>
    <t>Net working capital</t>
  </si>
  <si>
    <t>Income statement values</t>
  </si>
  <si>
    <t>Ratios</t>
  </si>
  <si>
    <t>ROIC</t>
  </si>
  <si>
    <t>Store square feet</t>
  </si>
  <si>
    <t>Return on sales</t>
  </si>
  <si>
    <t>Capital turnover</t>
  </si>
  <si>
    <t>COGS / sales</t>
  </si>
  <si>
    <t>SG&amp;A / sales</t>
  </si>
  <si>
    <t>Avg. NWC / sales</t>
  </si>
  <si>
    <t>Avg. PPE / sales</t>
  </si>
  <si>
    <t>Balance sheet values (average)</t>
  </si>
  <si>
    <t>Revenue / square foot</t>
  </si>
  <si>
    <t>Fiscal year</t>
  </si>
  <si>
    <t>(millions)</t>
  </si>
  <si>
    <t>(billions)</t>
  </si>
  <si>
    <t>Company</t>
  </si>
  <si>
    <t>Scale</t>
  </si>
  <si>
    <t>Source: Walmart FY2025 10-K</t>
  </si>
  <si>
    <t>Source: Costco FY2025 10-K</t>
  </si>
  <si>
    <t>Invested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</si>
</sst>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d\ mmm\ yyyy"/>
    <numFmt numFmtId="165" formatCode="_(* #,##0_);_(* \(#,##0\);_(* &quot;-&quot;??_);_(@_)"/>
    <numFmt numFmtId="166" formatCode="0.0%"/>
    <numFmt numFmtId="167" formatCode="0.0"/>
    <numFmt numFmtId="168" formatCode="#,##0.0_);\(#,##0.0\)"/>
    <numFmt numFmtId="169" formatCode="#,##0.000_);\(#,##0.000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PT Serif"/>
      <family val="1"/>
    </font>
    <font>
      <b/>
      <sz val="12"/>
      <color theme="1"/>
      <name val="PT Serif"/>
      <family val="1"/>
    </font>
    <font>
      <b/>
      <i/>
      <sz val="12"/>
      <color theme="1"/>
      <name val="PT Serif"/>
      <family val="1"/>
    </font>
    <font>
      <u/>
      <sz val="11"/>
      <color theme="10"/>
      <name val="Aptos Narrow"/>
      <family val="2"/>
      <scheme val="minor"/>
    </font>
    <font>
      <u/>
      <sz val="12"/>
      <color theme="10"/>
      <name val="PT Serif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3" fillId="2" borderId="1" xfId="0" applyNumberFormat="1" applyFont="1" applyFill="1" applyBorder="1"/>
    <xf numFmtId="0" fontId="2" fillId="2" borderId="0" xfId="1" applyNumberFormat="1" applyFont="1" applyFill="1"/>
    <xf numFmtId="41" fontId="2" fillId="2" borderId="0" xfId="1" applyNumberFormat="1" applyFont="1" applyFill="1" applyAlignment="1">
      <alignment horizontal="right"/>
    </xf>
    <xf numFmtId="41" fontId="2" fillId="2" borderId="1" xfId="1" applyNumberFormat="1" applyFont="1" applyFill="1" applyBorder="1" applyAlignment="1">
      <alignment horizontal="right"/>
    </xf>
    <xf numFmtId="41" fontId="2" fillId="2" borderId="1" xfId="1" applyNumberFormat="1" applyFont="1" applyFill="1" applyBorder="1"/>
    <xf numFmtId="41" fontId="2" fillId="2" borderId="0" xfId="1" applyNumberFormat="1" applyFont="1" applyFill="1"/>
    <xf numFmtId="0" fontId="3" fillId="2" borderId="0" xfId="1" applyNumberFormat="1" applyFont="1" applyFill="1"/>
    <xf numFmtId="41" fontId="3" fillId="2" borderId="0" xfId="1" applyNumberFormat="1" applyFont="1" applyFill="1"/>
    <xf numFmtId="0" fontId="2" fillId="2" borderId="3" xfId="0" applyFont="1" applyFill="1" applyBorder="1"/>
    <xf numFmtId="41" fontId="3" fillId="2" borderId="2" xfId="1" applyNumberFormat="1" applyFont="1" applyFill="1" applyBorder="1"/>
    <xf numFmtId="41" fontId="3" fillId="2" borderId="0" xfId="1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1" fontId="2" fillId="2" borderId="0" xfId="0" applyNumberFormat="1" applyFont="1" applyFill="1"/>
    <xf numFmtId="165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/>
    </xf>
    <xf numFmtId="41" fontId="2" fillId="3" borderId="0" xfId="1" applyNumberFormat="1" applyFont="1" applyFill="1" applyAlignment="1">
      <alignment horizontal="right"/>
    </xf>
    <xf numFmtId="41" fontId="2" fillId="3" borderId="1" xfId="1" applyNumberFormat="1" applyFont="1" applyFill="1" applyBorder="1" applyAlignment="1">
      <alignment horizontal="right"/>
    </xf>
    <xf numFmtId="41" fontId="3" fillId="3" borderId="0" xfId="1" applyNumberFormat="1" applyFont="1" applyFill="1" applyAlignment="1">
      <alignment horizontal="right"/>
    </xf>
    <xf numFmtId="41" fontId="2" fillId="3" borderId="1" xfId="1" applyNumberFormat="1" applyFont="1" applyFill="1" applyBorder="1"/>
    <xf numFmtId="41" fontId="3" fillId="3" borderId="2" xfId="1" applyNumberFormat="1" applyFont="1" applyFill="1" applyBorder="1"/>
    <xf numFmtId="41" fontId="2" fillId="3" borderId="0" xfId="1" applyNumberFormat="1" applyFont="1" applyFill="1"/>
    <xf numFmtId="41" fontId="3" fillId="3" borderId="0" xfId="1" applyNumberFormat="1" applyFont="1" applyFill="1"/>
    <xf numFmtId="0" fontId="4" fillId="2" borderId="0" xfId="0" applyFont="1" applyFill="1"/>
    <xf numFmtId="37" fontId="2" fillId="2" borderId="0" xfId="1" applyNumberFormat="1" applyFont="1" applyFill="1" applyAlignment="1">
      <alignment horizontal="right"/>
    </xf>
    <xf numFmtId="37" fontId="2" fillId="2" borderId="1" xfId="1" applyNumberFormat="1" applyFont="1" applyFill="1" applyBorder="1" applyAlignment="1">
      <alignment horizontal="right"/>
    </xf>
    <xf numFmtId="37" fontId="3" fillId="2" borderId="3" xfId="1" applyNumberFormat="1" applyFont="1" applyFill="1" applyBorder="1" applyAlignment="1">
      <alignment horizontal="right"/>
    </xf>
    <xf numFmtId="37" fontId="3" fillId="2" borderId="2" xfId="1" applyNumberFormat="1" applyFont="1" applyFill="1" applyBorder="1" applyAlignment="1">
      <alignment horizontal="right"/>
    </xf>
    <xf numFmtId="37" fontId="2" fillId="2" borderId="0" xfId="0" applyNumberFormat="1" applyFont="1" applyFill="1"/>
    <xf numFmtId="37" fontId="2" fillId="2" borderId="1" xfId="0" applyNumberFormat="1" applyFont="1" applyFill="1" applyBorder="1"/>
    <xf numFmtId="166" fontId="2" fillId="2" borderId="0" xfId="2" applyNumberFormat="1" applyFont="1" applyFill="1"/>
    <xf numFmtId="7" fontId="2" fillId="2" borderId="0" xfId="0" applyNumberFormat="1" applyFont="1" applyFill="1"/>
    <xf numFmtId="5" fontId="2" fillId="2" borderId="0" xfId="0" applyNumberFormat="1" applyFont="1" applyFill="1"/>
    <xf numFmtId="168" fontId="2" fillId="2" borderId="0" xfId="1" applyNumberFormat="1" applyFont="1" applyFill="1" applyAlignment="1">
      <alignment horizontal="right"/>
    </xf>
    <xf numFmtId="169" fontId="2" fillId="2" borderId="0" xfId="1" applyNumberFormat="1" applyFont="1" applyFill="1" applyAlignment="1">
      <alignment horizontal="right"/>
    </xf>
    <xf numFmtId="0" fontId="4" fillId="3" borderId="0" xfId="0" applyFont="1" applyFill="1"/>
    <xf numFmtId="167" fontId="2" fillId="3" borderId="0" xfId="0" applyNumberFormat="1" applyFont="1" applyFill="1"/>
    <xf numFmtId="0" fontId="2" fillId="3" borderId="0" xfId="0" applyFont="1" applyFill="1"/>
    <xf numFmtId="168" fontId="2" fillId="3" borderId="0" xfId="0" applyNumberFormat="1" applyFont="1" applyFill="1"/>
    <xf numFmtId="0" fontId="2" fillId="2" borderId="0" xfId="0" applyFont="1" applyFill="1" applyAlignment="1">
      <alignment horizontal="left" indent="1"/>
    </xf>
    <xf numFmtId="0" fontId="3" fillId="2" borderId="0" xfId="0" applyFont="1" applyFill="1" applyAlignment="1">
      <alignment horizontal="right"/>
    </xf>
    <xf numFmtId="0" fontId="6" fillId="2" borderId="0" xfId="3" applyFont="1" applyFill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cgi-bin/viewer?action=view&amp;cik=909832&amp;accession_number=0000909832-25-000101&amp;xbrl_type=v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cgi-bin/viewer?action=view&amp;cik=909832&amp;accession_number=0000909832-25-000101&amp;xbrl_type=v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cgi-bin/viewer?action=view&amp;cik=104169&amp;accession_number=0000104169-25-000021&amp;xbrl_type=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cgi-bin/viewer?action=view&amp;cik=104169&amp;accession_number=0000104169-25-000021&amp;xbrl_type=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740A-8345-4992-9047-CCECBA06D271}">
  <dimension ref="A1:E26"/>
  <sheetViews>
    <sheetView tabSelected="1" zoomScale="120" zoomScaleNormal="120" workbookViewId="0">
      <selection activeCell="B7" sqref="B7"/>
    </sheetView>
  </sheetViews>
  <sheetFormatPr defaultRowHeight="17.399999999999999" x14ac:dyDescent="0.4"/>
  <cols>
    <col min="1" max="1" width="31.88671875" style="1" bestFit="1" customWidth="1"/>
    <col min="2" max="5" width="14.109375" style="1" customWidth="1"/>
    <col min="6" max="16384" width="8.88671875" style="1"/>
  </cols>
  <sheetData>
    <row r="1" spans="1:5" x14ac:dyDescent="0.4">
      <c r="A1" s="1" t="s">
        <v>87</v>
      </c>
      <c r="B1" s="42" t="s">
        <v>67</v>
      </c>
      <c r="C1" s="42" t="s">
        <v>68</v>
      </c>
      <c r="D1" s="42" t="s">
        <v>67</v>
      </c>
      <c r="E1" s="42" t="s">
        <v>68</v>
      </c>
    </row>
    <row r="2" spans="1:5" x14ac:dyDescent="0.4">
      <c r="A2" s="1" t="s">
        <v>84</v>
      </c>
      <c r="B2" s="2">
        <v>2025</v>
      </c>
      <c r="C2" s="2">
        <v>2025</v>
      </c>
      <c r="D2" s="2">
        <v>2025</v>
      </c>
      <c r="E2" s="2">
        <v>2025</v>
      </c>
    </row>
    <row r="3" spans="1:5" x14ac:dyDescent="0.4">
      <c r="A3" s="1" t="s">
        <v>88</v>
      </c>
      <c r="B3" s="42" t="s">
        <v>85</v>
      </c>
      <c r="C3" s="42" t="s">
        <v>85</v>
      </c>
      <c r="D3" s="42" t="s">
        <v>86</v>
      </c>
      <c r="E3" s="42" t="s">
        <v>86</v>
      </c>
    </row>
    <row r="4" spans="1:5" x14ac:dyDescent="0.4">
      <c r="A4" s="37" t="s">
        <v>72</v>
      </c>
      <c r="B4" s="39"/>
      <c r="C4" s="39"/>
      <c r="D4" s="39"/>
      <c r="E4" s="39"/>
    </row>
    <row r="5" spans="1:5" x14ac:dyDescent="0.4">
      <c r="A5" s="1" t="s">
        <v>63</v>
      </c>
      <c r="B5" s="26">
        <f>'Costco income statement'!B4</f>
        <v>275235</v>
      </c>
      <c r="C5" s="26">
        <f>'Walmart income statement'!B6</f>
        <v>680985</v>
      </c>
      <c r="D5" s="35">
        <f>ROUND(B5/1000,1)</f>
        <v>275.2</v>
      </c>
      <c r="E5" s="35">
        <f>ROUND(C5/1000,1)</f>
        <v>681</v>
      </c>
    </row>
    <row r="6" spans="1:5" x14ac:dyDescent="0.4">
      <c r="A6" s="1" t="s">
        <v>64</v>
      </c>
      <c r="B6" s="26">
        <f>'Costco income statement'!B5</f>
        <v>239886</v>
      </c>
      <c r="C6" s="26">
        <f>'Walmart income statement'!B7</f>
        <v>511753</v>
      </c>
      <c r="D6" s="35">
        <f t="shared" ref="D6:E8" si="0">ROUND(B6/1000,1)</f>
        <v>239.9</v>
      </c>
      <c r="E6" s="35">
        <f t="shared" si="0"/>
        <v>511.8</v>
      </c>
    </row>
    <row r="7" spans="1:5" x14ac:dyDescent="0.4">
      <c r="A7" s="1" t="s">
        <v>65</v>
      </c>
      <c r="B7" s="26">
        <f>'Costco income statement'!B6</f>
        <v>24966</v>
      </c>
      <c r="C7" s="26">
        <f>'Walmart income statement'!B8</f>
        <v>139884</v>
      </c>
      <c r="D7" s="35">
        <f t="shared" si="0"/>
        <v>25</v>
      </c>
      <c r="E7" s="35">
        <f t="shared" si="0"/>
        <v>139.9</v>
      </c>
    </row>
    <row r="8" spans="1:5" x14ac:dyDescent="0.4">
      <c r="A8" s="1" t="s">
        <v>35</v>
      </c>
      <c r="B8" s="26">
        <f>'Costco income statement'!B7*(1-'Costco income statement'!B14)</f>
        <v>7773.3330560177474</v>
      </c>
      <c r="C8" s="26">
        <f>'Walmart income statement'!B9*(1-'Walmart income statement'!B19)</f>
        <v>22485.371393819605</v>
      </c>
      <c r="D8" s="35">
        <f t="shared" si="0"/>
        <v>7.8</v>
      </c>
      <c r="E8" s="35">
        <f t="shared" si="0"/>
        <v>22.5</v>
      </c>
    </row>
    <row r="9" spans="1:5" x14ac:dyDescent="0.4">
      <c r="A9" s="37" t="s">
        <v>82</v>
      </c>
      <c r="B9" s="38"/>
      <c r="C9" s="39"/>
      <c r="D9" s="40"/>
      <c r="E9" s="40"/>
    </row>
    <row r="10" spans="1:5" x14ac:dyDescent="0.4">
      <c r="A10" s="1" t="s">
        <v>47</v>
      </c>
      <c r="B10" s="26">
        <f>'Costco balance sheet'!D9</f>
        <v>36313</v>
      </c>
      <c r="C10" s="15">
        <f>'Walmart balance sheet'!D8</f>
        <v>78167.5</v>
      </c>
      <c r="D10" s="35">
        <f>ROUND(B10/1000,1)</f>
        <v>36.299999999999997</v>
      </c>
      <c r="E10" s="35">
        <f>ROUND(C10/1000,1)</f>
        <v>78.2</v>
      </c>
    </row>
    <row r="11" spans="1:5" x14ac:dyDescent="0.4">
      <c r="A11" s="1" t="s">
        <v>69</v>
      </c>
      <c r="B11" s="26">
        <f>SUM('Costco balance sheet'!D10:D11)</f>
        <v>33141.5</v>
      </c>
      <c r="C11" s="15">
        <f>SUM('Walmart balance sheet'!D9:D11)</f>
        <v>135021</v>
      </c>
      <c r="D11" s="35">
        <f t="shared" ref="D11:E16" si="1">ROUND(B11/1000,1)</f>
        <v>33.1</v>
      </c>
      <c r="E11" s="35">
        <f t="shared" si="1"/>
        <v>135</v>
      </c>
    </row>
    <row r="12" spans="1:5" x14ac:dyDescent="0.4">
      <c r="A12" s="1" t="s">
        <v>20</v>
      </c>
      <c r="B12" s="26">
        <f>'Costco balance sheet'!D12</f>
        <v>4010.5</v>
      </c>
      <c r="C12" s="15">
        <f>SUM('Walmart balance sheet'!D12:D13)</f>
        <v>43422.5</v>
      </c>
      <c r="D12" s="35">
        <f t="shared" si="1"/>
        <v>4</v>
      </c>
      <c r="E12" s="35">
        <f t="shared" si="1"/>
        <v>43.4</v>
      </c>
    </row>
    <row r="13" spans="1:5" x14ac:dyDescent="0.4">
      <c r="A13" s="1" t="s">
        <v>70</v>
      </c>
      <c r="B13" s="26">
        <f>SUM('Costco balance sheet'!D14:D18)</f>
        <v>36286</v>
      </c>
      <c r="C13" s="15">
        <f>SUM('Walmart balance sheet'!D16:D18)</f>
        <v>87248.5</v>
      </c>
      <c r="D13" s="35">
        <f t="shared" si="1"/>
        <v>36.299999999999997</v>
      </c>
      <c r="E13" s="35">
        <f t="shared" si="1"/>
        <v>87.2</v>
      </c>
    </row>
    <row r="14" spans="1:5" x14ac:dyDescent="0.4">
      <c r="A14" s="1" t="s">
        <v>60</v>
      </c>
      <c r="B14" s="15">
        <f>'Costco balance sheet'!D26</f>
        <v>2620.2399999999998</v>
      </c>
      <c r="C14" s="15">
        <f>'Walmart balance sheet'!D31</f>
        <v>0</v>
      </c>
      <c r="D14" s="35">
        <f t="shared" si="1"/>
        <v>2.6</v>
      </c>
      <c r="E14" s="35">
        <f t="shared" si="1"/>
        <v>0</v>
      </c>
    </row>
    <row r="15" spans="1:5" x14ac:dyDescent="0.4">
      <c r="A15" s="1" t="s">
        <v>71</v>
      </c>
      <c r="B15" s="15">
        <f>B10-B13-B14</f>
        <v>-2593.2399999999998</v>
      </c>
      <c r="C15" s="15">
        <f>C10-C13-C14</f>
        <v>-9081</v>
      </c>
      <c r="D15" s="35">
        <f t="shared" si="1"/>
        <v>-2.6</v>
      </c>
      <c r="E15" s="35">
        <f t="shared" si="1"/>
        <v>-9.1</v>
      </c>
    </row>
    <row r="16" spans="1:5" x14ac:dyDescent="0.4">
      <c r="A16" s="1" t="s">
        <v>91</v>
      </c>
      <c r="B16" s="15">
        <f>B15+B11+B12</f>
        <v>34558.76</v>
      </c>
      <c r="C16" s="15">
        <f>C15+C11+C12</f>
        <v>169362.5</v>
      </c>
      <c r="D16" s="35">
        <f t="shared" si="1"/>
        <v>34.6</v>
      </c>
      <c r="E16" s="35">
        <f t="shared" si="1"/>
        <v>169.4</v>
      </c>
    </row>
    <row r="17" spans="1:5" x14ac:dyDescent="0.4">
      <c r="A17" s="1" t="s">
        <v>75</v>
      </c>
      <c r="B17" s="15">
        <f>'Costco balance sheet'!D27</f>
        <v>132.80000000000001</v>
      </c>
      <c r="C17" s="15">
        <f>'Walmart balance sheet'!D32</f>
        <v>1014.45</v>
      </c>
      <c r="D17" s="36">
        <f>B17/1000</f>
        <v>0.1328</v>
      </c>
      <c r="E17" s="36">
        <f>C17/1000</f>
        <v>1.0144500000000001</v>
      </c>
    </row>
    <row r="18" spans="1:5" x14ac:dyDescent="0.4">
      <c r="A18" s="37" t="s">
        <v>73</v>
      </c>
      <c r="B18" s="37"/>
      <c r="C18" s="37"/>
      <c r="D18" s="37"/>
      <c r="E18" s="37"/>
    </row>
    <row r="19" spans="1:5" x14ac:dyDescent="0.4">
      <c r="A19" s="1" t="s">
        <v>74</v>
      </c>
      <c r="B19" s="32"/>
      <c r="C19" s="32"/>
      <c r="D19" s="32">
        <f>D8/D16</f>
        <v>0.22543352601156069</v>
      </c>
      <c r="E19" s="32">
        <f>E8/E16</f>
        <v>0.13282172373081463</v>
      </c>
    </row>
    <row r="20" spans="1:5" x14ac:dyDescent="0.4">
      <c r="A20" s="1" t="s">
        <v>76</v>
      </c>
      <c r="B20" s="32"/>
      <c r="C20" s="32"/>
      <c r="D20" s="32">
        <f>D8/D5</f>
        <v>2.8343023255813955E-2</v>
      </c>
      <c r="E20" s="32">
        <f>E8/E5</f>
        <v>3.3039647577092511E-2</v>
      </c>
    </row>
    <row r="21" spans="1:5" x14ac:dyDescent="0.4">
      <c r="A21" s="41" t="s">
        <v>78</v>
      </c>
      <c r="B21" s="32"/>
      <c r="C21" s="32"/>
      <c r="D21" s="32">
        <f>D6/D5</f>
        <v>0.87172965116279078</v>
      </c>
      <c r="E21" s="32">
        <f>E6/E5</f>
        <v>0.75154185022026432</v>
      </c>
    </row>
    <row r="22" spans="1:5" x14ac:dyDescent="0.4">
      <c r="A22" s="41" t="s">
        <v>79</v>
      </c>
      <c r="B22" s="32"/>
      <c r="C22" s="32"/>
      <c r="D22" s="32">
        <f>D7/D5</f>
        <v>9.0843023255813962E-2</v>
      </c>
      <c r="E22" s="32">
        <f>E7/E5</f>
        <v>0.20543318649045522</v>
      </c>
    </row>
    <row r="23" spans="1:5" x14ac:dyDescent="0.4">
      <c r="A23" s="1" t="s">
        <v>77</v>
      </c>
      <c r="B23" s="33"/>
      <c r="C23" s="33"/>
      <c r="D23" s="33">
        <f>D5/D16</f>
        <v>7.9537572254335256</v>
      </c>
      <c r="E23" s="33">
        <f>E5/E16</f>
        <v>4.0200708382526562</v>
      </c>
    </row>
    <row r="24" spans="1:5" x14ac:dyDescent="0.4">
      <c r="A24" s="41" t="s">
        <v>80</v>
      </c>
      <c r="B24" s="32"/>
      <c r="C24" s="32"/>
      <c r="D24" s="32">
        <f>D15/D5</f>
        <v>-9.4476744186046523E-3</v>
      </c>
      <c r="E24" s="32">
        <f>E15/E5</f>
        <v>-1.3362701908957416E-2</v>
      </c>
    </row>
    <row r="25" spans="1:5" x14ac:dyDescent="0.4">
      <c r="A25" s="41" t="s">
        <v>81</v>
      </c>
      <c r="B25" s="32"/>
      <c r="C25" s="32"/>
      <c r="D25" s="32">
        <f>D11/D5</f>
        <v>0.12027616279069768</v>
      </c>
      <c r="E25" s="32">
        <f>E11/E5</f>
        <v>0.19823788546255505</v>
      </c>
    </row>
    <row r="26" spans="1:5" x14ac:dyDescent="0.4">
      <c r="A26" s="41" t="s">
        <v>83</v>
      </c>
      <c r="B26" s="34"/>
      <c r="C26" s="34"/>
      <c r="D26" s="34">
        <f>D5/D17</f>
        <v>2072.2891566265057</v>
      </c>
      <c r="E26" s="34">
        <f>E5/E17</f>
        <v>671.29971905958894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C9D7-09C8-47E1-8FF8-C403AD7D9655}">
  <dimension ref="A1:J16"/>
  <sheetViews>
    <sheetView zoomScale="120" zoomScaleNormal="120" workbookViewId="0">
      <selection activeCell="A20" sqref="A20"/>
    </sheetView>
  </sheetViews>
  <sheetFormatPr defaultColWidth="9.109375" defaultRowHeight="17.399999999999999" x14ac:dyDescent="0.4"/>
  <cols>
    <col min="1" max="1" width="38.109375" style="1" customWidth="1"/>
    <col min="2" max="3" width="14.21875" style="1" customWidth="1"/>
    <col min="4" max="4" width="9.6640625" style="1" bestFit="1" customWidth="1"/>
    <col min="5" max="7" width="9.109375" style="1"/>
    <col min="8" max="8" width="30.44140625" style="1" customWidth="1"/>
    <col min="9" max="9" width="13.44140625" style="1" bestFit="1" customWidth="1"/>
    <col min="10" max="10" width="12.109375" style="1" bestFit="1" customWidth="1"/>
    <col min="11" max="16384" width="9.109375" style="1"/>
  </cols>
  <sheetData>
    <row r="1" spans="1:10" ht="6" customHeight="1" x14ac:dyDescent="0.4"/>
    <row r="2" spans="1:10" x14ac:dyDescent="0.4">
      <c r="A2" s="11"/>
      <c r="B2" s="44" t="s">
        <v>34</v>
      </c>
      <c r="C2" s="44"/>
    </row>
    <row r="3" spans="1:10" x14ac:dyDescent="0.4">
      <c r="A3" s="2" t="s">
        <v>0</v>
      </c>
      <c r="B3" s="3">
        <v>45900</v>
      </c>
      <c r="C3" s="3">
        <v>45536</v>
      </c>
    </row>
    <row r="4" spans="1:10" x14ac:dyDescent="0.4">
      <c r="A4" s="4" t="s">
        <v>1</v>
      </c>
      <c r="B4" s="26">
        <v>275235</v>
      </c>
      <c r="C4" s="26">
        <v>254453</v>
      </c>
      <c r="I4" s="15"/>
      <c r="J4" s="15"/>
    </row>
    <row r="5" spans="1:10" x14ac:dyDescent="0.4">
      <c r="A5" s="4" t="s">
        <v>41</v>
      </c>
      <c r="B5" s="26">
        <v>239886</v>
      </c>
      <c r="C5" s="26">
        <v>222358</v>
      </c>
      <c r="J5" s="15"/>
    </row>
    <row r="6" spans="1:10" x14ac:dyDescent="0.4">
      <c r="A6" s="4" t="s">
        <v>3</v>
      </c>
      <c r="B6" s="26">
        <v>24966</v>
      </c>
      <c r="C6" s="26">
        <v>22810</v>
      </c>
      <c r="I6" s="16"/>
      <c r="J6" s="15"/>
    </row>
    <row r="7" spans="1:10" x14ac:dyDescent="0.4">
      <c r="A7" s="9" t="s">
        <v>4</v>
      </c>
      <c r="B7" s="28">
        <v>10383</v>
      </c>
      <c r="C7" s="28">
        <v>9285</v>
      </c>
      <c r="I7" s="15"/>
      <c r="J7" s="15"/>
    </row>
    <row r="8" spans="1:10" x14ac:dyDescent="0.4">
      <c r="A8" s="4" t="s">
        <v>42</v>
      </c>
      <c r="B8" s="26">
        <v>-154</v>
      </c>
      <c r="C8" s="26">
        <v>-169</v>
      </c>
    </row>
    <row r="9" spans="1:10" x14ac:dyDescent="0.4">
      <c r="A9" s="4" t="s">
        <v>43</v>
      </c>
      <c r="B9" s="27">
        <v>589</v>
      </c>
      <c r="C9" s="27">
        <v>624</v>
      </c>
    </row>
    <row r="10" spans="1:10" x14ac:dyDescent="0.4">
      <c r="A10" s="4" t="s">
        <v>7</v>
      </c>
      <c r="B10" s="26">
        <v>10818</v>
      </c>
      <c r="C10" s="26">
        <v>9470</v>
      </c>
    </row>
    <row r="11" spans="1:10" x14ac:dyDescent="0.4">
      <c r="A11" s="4" t="s">
        <v>8</v>
      </c>
      <c r="B11" s="26">
        <v>2719</v>
      </c>
      <c r="C11" s="26">
        <v>2373</v>
      </c>
    </row>
    <row r="12" spans="1:10" ht="18" thickBot="1" x14ac:dyDescent="0.45">
      <c r="A12" s="9" t="s">
        <v>9</v>
      </c>
      <c r="B12" s="29">
        <v>8099</v>
      </c>
      <c r="C12" s="29">
        <v>7367</v>
      </c>
    </row>
    <row r="13" spans="1:10" ht="18" thickTop="1" x14ac:dyDescent="0.4">
      <c r="A13" s="25" t="s">
        <v>61</v>
      </c>
    </row>
    <row r="14" spans="1:10" x14ac:dyDescent="0.4">
      <c r="A14" s="1" t="s">
        <v>66</v>
      </c>
      <c r="B14" s="32">
        <f>B11/B10</f>
        <v>0.25134035866149013</v>
      </c>
      <c r="C14" s="32">
        <f>C11/C10</f>
        <v>0.25058078141499474</v>
      </c>
    </row>
    <row r="16" spans="1:10" x14ac:dyDescent="0.4">
      <c r="A16" s="43" t="s">
        <v>90</v>
      </c>
    </row>
  </sheetData>
  <mergeCells count="1">
    <mergeCell ref="B2:C2"/>
  </mergeCells>
  <hyperlinks>
    <hyperlink ref="A16" r:id="rId1" xr:uid="{0EB220CF-E48F-4A80-BB0F-763EF89B6E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96C6-626D-457D-9A77-34D79435F99C}">
  <dimension ref="A1:J29"/>
  <sheetViews>
    <sheetView zoomScale="120" zoomScaleNormal="120" workbookViewId="0">
      <selection activeCell="A29" sqref="A29"/>
    </sheetView>
  </sheetViews>
  <sheetFormatPr defaultColWidth="9.109375" defaultRowHeight="17.399999999999999" x14ac:dyDescent="0.4"/>
  <cols>
    <col min="1" max="1" width="43" style="1" customWidth="1"/>
    <col min="2" max="2" width="13.21875" style="1" bestFit="1" customWidth="1"/>
    <col min="3" max="4" width="13.88671875" style="1" customWidth="1"/>
    <col min="5" max="7" width="9.109375" style="1"/>
    <col min="8" max="8" width="22.88671875" style="1" customWidth="1"/>
    <col min="9" max="10" width="15.6640625" style="1" customWidth="1"/>
    <col min="11" max="16384" width="9.109375" style="1"/>
  </cols>
  <sheetData>
    <row r="1" spans="1:10" ht="6" customHeight="1" x14ac:dyDescent="0.4"/>
    <row r="2" spans="1:10" x14ac:dyDescent="0.4">
      <c r="A2" s="11"/>
      <c r="B2" s="45" t="s">
        <v>10</v>
      </c>
      <c r="C2" s="45"/>
      <c r="D2" s="45"/>
    </row>
    <row r="3" spans="1:10" x14ac:dyDescent="0.4">
      <c r="A3" s="25" t="s">
        <v>33</v>
      </c>
      <c r="B3" s="3">
        <v>45688</v>
      </c>
      <c r="C3" s="3">
        <v>45322</v>
      </c>
      <c r="D3" s="17" t="s">
        <v>31</v>
      </c>
      <c r="I3" s="14"/>
      <c r="J3" s="14"/>
    </row>
    <row r="4" spans="1:10" x14ac:dyDescent="0.4">
      <c r="A4" s="4" t="s">
        <v>11</v>
      </c>
      <c r="B4" s="5">
        <v>14161</v>
      </c>
      <c r="C4" s="5">
        <v>9906</v>
      </c>
      <c r="D4" s="18">
        <f>AVERAGE(B4:C4)</f>
        <v>12033.5</v>
      </c>
      <c r="I4" s="15"/>
      <c r="J4" s="15"/>
    </row>
    <row r="5" spans="1:10" x14ac:dyDescent="0.4">
      <c r="A5" s="4" t="s">
        <v>44</v>
      </c>
      <c r="B5" s="5">
        <v>1123</v>
      </c>
      <c r="C5" s="5">
        <v>1238</v>
      </c>
      <c r="D5" s="18">
        <f t="shared" ref="D5:D8" si="0">AVERAGE(B5:C5)</f>
        <v>1180.5</v>
      </c>
      <c r="I5" s="15"/>
      <c r="J5" s="15"/>
    </row>
    <row r="6" spans="1:10" x14ac:dyDescent="0.4">
      <c r="A6" s="4" t="s">
        <v>12</v>
      </c>
      <c r="B6" s="5">
        <v>3203</v>
      </c>
      <c r="C6" s="5">
        <v>2721</v>
      </c>
      <c r="D6" s="18">
        <f t="shared" si="0"/>
        <v>2962</v>
      </c>
      <c r="I6" s="15"/>
    </row>
    <row r="7" spans="1:10" x14ac:dyDescent="0.4">
      <c r="A7" s="4" t="s">
        <v>45</v>
      </c>
      <c r="B7" s="5">
        <v>18116</v>
      </c>
      <c r="C7" s="5">
        <v>18647</v>
      </c>
      <c r="D7" s="18">
        <f t="shared" si="0"/>
        <v>18381.5</v>
      </c>
      <c r="I7" s="16"/>
    </row>
    <row r="8" spans="1:10" x14ac:dyDescent="0.4">
      <c r="A8" s="4" t="s">
        <v>46</v>
      </c>
      <c r="B8" s="6">
        <v>1777</v>
      </c>
      <c r="C8" s="6">
        <v>1734</v>
      </c>
      <c r="D8" s="19">
        <f t="shared" si="0"/>
        <v>1755.5</v>
      </c>
      <c r="I8" s="15"/>
      <c r="J8" s="15"/>
    </row>
    <row r="9" spans="1:10" x14ac:dyDescent="0.4">
      <c r="A9" s="9" t="s">
        <v>15</v>
      </c>
      <c r="B9" s="13">
        <v>38380</v>
      </c>
      <c r="C9" s="13">
        <v>34246</v>
      </c>
      <c r="D9" s="20">
        <f t="shared" ref="D9:D13" si="1">AVERAGE(B9:C9)</f>
        <v>36313</v>
      </c>
    </row>
    <row r="10" spans="1:10" x14ac:dyDescent="0.4">
      <c r="A10" s="4" t="s">
        <v>16</v>
      </c>
      <c r="B10" s="5">
        <v>31909</v>
      </c>
      <c r="C10" s="5">
        <v>29032</v>
      </c>
      <c r="D10" s="18">
        <f t="shared" si="1"/>
        <v>30470.5</v>
      </c>
    </row>
    <row r="11" spans="1:10" x14ac:dyDescent="0.4">
      <c r="A11" s="4" t="s">
        <v>17</v>
      </c>
      <c r="B11" s="5">
        <v>2725</v>
      </c>
      <c r="C11" s="5">
        <v>2617</v>
      </c>
      <c r="D11" s="18">
        <f t="shared" si="1"/>
        <v>2671</v>
      </c>
    </row>
    <row r="12" spans="1:10" x14ac:dyDescent="0.4">
      <c r="A12" s="4" t="s">
        <v>20</v>
      </c>
      <c r="B12" s="7">
        <v>4085</v>
      </c>
      <c r="C12" s="7">
        <v>3936</v>
      </c>
      <c r="D12" s="21">
        <f t="shared" si="1"/>
        <v>4010.5</v>
      </c>
    </row>
    <row r="13" spans="1:10" ht="18" thickBot="1" x14ac:dyDescent="0.45">
      <c r="A13" s="9" t="s">
        <v>21</v>
      </c>
      <c r="B13" s="12">
        <v>77099</v>
      </c>
      <c r="C13" s="12">
        <v>69831</v>
      </c>
      <c r="D13" s="22">
        <f t="shared" si="1"/>
        <v>73465</v>
      </c>
    </row>
    <row r="14" spans="1:10" ht="18" thickTop="1" x14ac:dyDescent="0.4">
      <c r="A14" s="4" t="s">
        <v>23</v>
      </c>
      <c r="B14" s="8">
        <v>19783</v>
      </c>
      <c r="C14" s="8">
        <v>19421</v>
      </c>
      <c r="D14" s="23">
        <f t="shared" ref="D14:D27" si="2">AVERAGE(B14:C14)</f>
        <v>19602</v>
      </c>
    </row>
    <row r="15" spans="1:10" x14ac:dyDescent="0.4">
      <c r="A15" s="4" t="s">
        <v>48</v>
      </c>
      <c r="B15" s="8">
        <v>5205</v>
      </c>
      <c r="C15" s="8">
        <v>4794</v>
      </c>
      <c r="D15" s="23">
        <f t="shared" si="2"/>
        <v>4999.5</v>
      </c>
    </row>
    <row r="16" spans="1:10" x14ac:dyDescent="0.4">
      <c r="A16" s="4" t="s">
        <v>49</v>
      </c>
      <c r="B16" s="8">
        <v>2677</v>
      </c>
      <c r="C16" s="8">
        <v>2435</v>
      </c>
      <c r="D16" s="23">
        <f t="shared" si="2"/>
        <v>2556</v>
      </c>
    </row>
    <row r="17" spans="1:5" x14ac:dyDescent="0.4">
      <c r="A17" s="4" t="s">
        <v>50</v>
      </c>
      <c r="B17" s="8">
        <v>2854</v>
      </c>
      <c r="C17" s="8">
        <v>2501</v>
      </c>
      <c r="D17" s="23">
        <f t="shared" si="2"/>
        <v>2677.5</v>
      </c>
    </row>
    <row r="18" spans="1:5" x14ac:dyDescent="0.4">
      <c r="A18" s="4" t="s">
        <v>51</v>
      </c>
      <c r="B18" s="7">
        <v>6589</v>
      </c>
      <c r="C18" s="7">
        <v>6313</v>
      </c>
      <c r="D18" s="21">
        <f t="shared" si="2"/>
        <v>6451</v>
      </c>
    </row>
    <row r="19" spans="1:5" x14ac:dyDescent="0.4">
      <c r="A19" s="9" t="s">
        <v>27</v>
      </c>
      <c r="B19" s="10">
        <v>37108</v>
      </c>
      <c r="C19" s="10">
        <v>35464</v>
      </c>
      <c r="D19" s="24">
        <f t="shared" si="2"/>
        <v>36286</v>
      </c>
    </row>
    <row r="20" spans="1:5" x14ac:dyDescent="0.4">
      <c r="A20" s="4" t="s">
        <v>54</v>
      </c>
      <c r="B20" s="8">
        <v>5713</v>
      </c>
      <c r="C20" s="8">
        <v>5794</v>
      </c>
      <c r="D20" s="23">
        <f t="shared" si="2"/>
        <v>5753.5</v>
      </c>
    </row>
    <row r="21" spans="1:5" x14ac:dyDescent="0.4">
      <c r="A21" s="4" t="s">
        <v>52</v>
      </c>
      <c r="B21" s="8">
        <v>2460</v>
      </c>
      <c r="C21" s="8">
        <v>2375</v>
      </c>
      <c r="D21" s="23">
        <f t="shared" si="2"/>
        <v>2417.5</v>
      </c>
    </row>
    <row r="22" spans="1:5" x14ac:dyDescent="0.4">
      <c r="A22" s="4" t="s">
        <v>53</v>
      </c>
      <c r="B22" s="8">
        <v>2654</v>
      </c>
      <c r="C22" s="8">
        <v>2576</v>
      </c>
      <c r="D22" s="23">
        <f t="shared" si="2"/>
        <v>2615</v>
      </c>
    </row>
    <row r="23" spans="1:5" x14ac:dyDescent="0.4">
      <c r="A23" s="4" t="s">
        <v>28</v>
      </c>
      <c r="B23" s="7">
        <v>29164</v>
      </c>
      <c r="C23" s="7">
        <v>23622</v>
      </c>
      <c r="D23" s="21">
        <f t="shared" si="2"/>
        <v>26393</v>
      </c>
    </row>
    <row r="24" spans="1:5" ht="18" thickBot="1" x14ac:dyDescent="0.45">
      <c r="A24" s="9" t="s">
        <v>32</v>
      </c>
      <c r="B24" s="12">
        <v>77099</v>
      </c>
      <c r="C24" s="12">
        <v>69831</v>
      </c>
      <c r="D24" s="22">
        <f t="shared" si="2"/>
        <v>73465</v>
      </c>
      <c r="E24" s="16"/>
    </row>
    <row r="25" spans="1:5" ht="18" thickTop="1" x14ac:dyDescent="0.4">
      <c r="A25" s="25" t="s">
        <v>62</v>
      </c>
    </row>
    <row r="26" spans="1:5" x14ac:dyDescent="0.4">
      <c r="A26" s="1" t="s">
        <v>60</v>
      </c>
      <c r="B26" s="8">
        <f>MAX(0,SUM(B4:B5)-'Costco income statement'!B4*0.04)</f>
        <v>4274.6000000000004</v>
      </c>
      <c r="C26" s="8">
        <f>MAX(0,SUM(C4:C5)-'Costco income statement'!C4*0.04)</f>
        <v>965.8799999999992</v>
      </c>
      <c r="D26" s="23">
        <f t="shared" si="2"/>
        <v>2620.2399999999998</v>
      </c>
    </row>
    <row r="27" spans="1:5" x14ac:dyDescent="0.4">
      <c r="A27" s="1" t="s">
        <v>75</v>
      </c>
      <c r="B27" s="8">
        <v>134.69999999999999</v>
      </c>
      <c r="C27" s="8">
        <v>130.9</v>
      </c>
      <c r="D27" s="23">
        <f t="shared" si="2"/>
        <v>132.80000000000001</v>
      </c>
    </row>
    <row r="29" spans="1:5" x14ac:dyDescent="0.4">
      <c r="A29" s="43" t="s">
        <v>90</v>
      </c>
    </row>
  </sheetData>
  <mergeCells count="1">
    <mergeCell ref="B2:D2"/>
  </mergeCells>
  <hyperlinks>
    <hyperlink ref="A29" r:id="rId1" xr:uid="{CF8554C0-74CB-425C-9934-CDBECF3E0DF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48D2-8246-4191-A507-95F811030978}">
  <dimension ref="A1:J21"/>
  <sheetViews>
    <sheetView zoomScale="120" zoomScaleNormal="120" workbookViewId="0">
      <selection activeCell="A21" sqref="A21"/>
    </sheetView>
  </sheetViews>
  <sheetFormatPr defaultColWidth="9.109375" defaultRowHeight="17.399999999999999" x14ac:dyDescent="0.4"/>
  <cols>
    <col min="1" max="1" width="38.109375" style="1" customWidth="1"/>
    <col min="2" max="3" width="14.21875" style="1" customWidth="1"/>
    <col min="4" max="4" width="9.6640625" style="1" bestFit="1" customWidth="1"/>
    <col min="5" max="7" width="9.109375" style="1"/>
    <col min="8" max="8" width="30.44140625" style="1" customWidth="1"/>
    <col min="9" max="9" width="13.44140625" style="1" bestFit="1" customWidth="1"/>
    <col min="10" max="10" width="12.109375" style="1" bestFit="1" customWidth="1"/>
    <col min="11" max="16384" width="9.109375" style="1"/>
  </cols>
  <sheetData>
    <row r="1" spans="1:10" ht="6" customHeight="1" x14ac:dyDescent="0.4"/>
    <row r="2" spans="1:10" x14ac:dyDescent="0.4">
      <c r="A2" s="11"/>
      <c r="B2" s="44" t="s">
        <v>34</v>
      </c>
      <c r="C2" s="44"/>
    </row>
    <row r="3" spans="1:10" x14ac:dyDescent="0.4">
      <c r="A3" s="2" t="s">
        <v>0</v>
      </c>
      <c r="B3" s="3">
        <v>45688</v>
      </c>
      <c r="C3" s="3">
        <v>45322</v>
      </c>
    </row>
    <row r="4" spans="1:10" x14ac:dyDescent="0.4">
      <c r="A4" s="1" t="s">
        <v>36</v>
      </c>
      <c r="B4" s="26">
        <v>674538</v>
      </c>
      <c r="C4" s="26">
        <v>642637</v>
      </c>
    </row>
    <row r="5" spans="1:10" x14ac:dyDescent="0.4">
      <c r="A5" s="1" t="s">
        <v>37</v>
      </c>
      <c r="B5" s="27">
        <v>6447</v>
      </c>
      <c r="C5" s="27">
        <v>5488</v>
      </c>
    </row>
    <row r="6" spans="1:10" x14ac:dyDescent="0.4">
      <c r="A6" s="4" t="s">
        <v>1</v>
      </c>
      <c r="B6" s="26">
        <v>680985</v>
      </c>
      <c r="C6" s="26">
        <v>648125</v>
      </c>
      <c r="I6" s="15"/>
      <c r="J6" s="15"/>
    </row>
    <row r="7" spans="1:10" x14ac:dyDescent="0.4">
      <c r="A7" s="4" t="s">
        <v>2</v>
      </c>
      <c r="B7" s="26">
        <v>511753</v>
      </c>
      <c r="C7" s="26">
        <v>490142</v>
      </c>
      <c r="J7" s="15"/>
    </row>
    <row r="8" spans="1:10" x14ac:dyDescent="0.4">
      <c r="A8" s="4" t="s">
        <v>3</v>
      </c>
      <c r="B8" s="26">
        <v>139884</v>
      </c>
      <c r="C8" s="26">
        <v>130971</v>
      </c>
      <c r="I8" s="16"/>
      <c r="J8" s="15"/>
    </row>
    <row r="9" spans="1:10" x14ac:dyDescent="0.4">
      <c r="A9" s="9" t="s">
        <v>4</v>
      </c>
      <c r="B9" s="28">
        <v>29348</v>
      </c>
      <c r="C9" s="28">
        <v>27012</v>
      </c>
      <c r="I9" s="15"/>
      <c r="J9" s="15"/>
    </row>
    <row r="10" spans="1:10" x14ac:dyDescent="0.4">
      <c r="A10" s="1" t="s">
        <v>38</v>
      </c>
      <c r="B10" s="30">
        <v>2249</v>
      </c>
      <c r="C10" s="30">
        <v>2259</v>
      </c>
    </row>
    <row r="11" spans="1:10" x14ac:dyDescent="0.4">
      <c r="A11" s="1" t="s">
        <v>39</v>
      </c>
      <c r="B11" s="30">
        <v>479</v>
      </c>
      <c r="C11" s="30">
        <v>424</v>
      </c>
    </row>
    <row r="12" spans="1:10" x14ac:dyDescent="0.4">
      <c r="A12" s="1" t="s">
        <v>40</v>
      </c>
      <c r="B12" s="31">
        <v>-483</v>
      </c>
      <c r="C12" s="31">
        <v>-546</v>
      </c>
    </row>
    <row r="13" spans="1:10" x14ac:dyDescent="0.4">
      <c r="A13" s="4" t="s">
        <v>5</v>
      </c>
      <c r="B13" s="26">
        <v>2245</v>
      </c>
      <c r="C13" s="26">
        <v>2137</v>
      </c>
    </row>
    <row r="14" spans="1:10" x14ac:dyDescent="0.4">
      <c r="A14" s="4" t="s">
        <v>6</v>
      </c>
      <c r="B14" s="27">
        <v>794</v>
      </c>
      <c r="C14" s="27">
        <v>3027</v>
      </c>
    </row>
    <row r="15" spans="1:10" x14ac:dyDescent="0.4">
      <c r="A15" s="4" t="s">
        <v>7</v>
      </c>
      <c r="B15" s="26">
        <v>26309</v>
      </c>
      <c r="C15" s="26">
        <v>21848</v>
      </c>
    </row>
    <row r="16" spans="1:10" x14ac:dyDescent="0.4">
      <c r="A16" s="4" t="s">
        <v>8</v>
      </c>
      <c r="B16" s="26">
        <v>6152</v>
      </c>
      <c r="C16" s="26">
        <v>5578</v>
      </c>
    </row>
    <row r="17" spans="1:3" ht="18" thickBot="1" x14ac:dyDescent="0.45">
      <c r="A17" s="9" t="s">
        <v>9</v>
      </c>
      <c r="B17" s="29">
        <v>20157</v>
      </c>
      <c r="C17" s="29">
        <v>16270</v>
      </c>
    </row>
    <row r="18" spans="1:3" ht="18" thickTop="1" x14ac:dyDescent="0.4">
      <c r="A18" s="25" t="s">
        <v>61</v>
      </c>
    </row>
    <row r="19" spans="1:3" x14ac:dyDescent="0.4">
      <c r="A19" s="1" t="s">
        <v>66</v>
      </c>
      <c r="B19" s="32">
        <f>B16/B15</f>
        <v>0.23383632977308144</v>
      </c>
      <c r="C19" s="32">
        <f>C16/C15</f>
        <v>0.25530941047235445</v>
      </c>
    </row>
    <row r="21" spans="1:3" x14ac:dyDescent="0.4">
      <c r="A21" s="43" t="s">
        <v>89</v>
      </c>
    </row>
  </sheetData>
  <mergeCells count="1">
    <mergeCell ref="B2:C2"/>
  </mergeCells>
  <hyperlinks>
    <hyperlink ref="A21" r:id="rId1" xr:uid="{DD4E9219-AEB1-4AAD-8953-6B63CFC71B6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9C0D-CC08-4A29-B54D-DDD5966FDEEB}">
  <dimension ref="A1:J34"/>
  <sheetViews>
    <sheetView zoomScale="120" zoomScaleNormal="120" workbookViewId="0">
      <selection activeCell="A34" sqref="A34"/>
    </sheetView>
  </sheetViews>
  <sheetFormatPr defaultColWidth="9.109375" defaultRowHeight="17.399999999999999" x14ac:dyDescent="0.4"/>
  <cols>
    <col min="1" max="1" width="43" style="1" customWidth="1"/>
    <col min="2" max="2" width="13.21875" style="1" bestFit="1" customWidth="1"/>
    <col min="3" max="4" width="13.88671875" style="1" customWidth="1"/>
    <col min="5" max="5" width="9.33203125" style="1" bestFit="1" customWidth="1"/>
    <col min="6" max="7" width="9.109375" style="1"/>
    <col min="8" max="8" width="22.88671875" style="1" customWidth="1"/>
    <col min="9" max="10" width="15.6640625" style="1" customWidth="1"/>
    <col min="11" max="16384" width="9.109375" style="1"/>
  </cols>
  <sheetData>
    <row r="1" spans="1:10" ht="6" customHeight="1" x14ac:dyDescent="0.4"/>
    <row r="2" spans="1:10" x14ac:dyDescent="0.4">
      <c r="A2" s="11"/>
      <c r="B2" s="45" t="s">
        <v>10</v>
      </c>
      <c r="C2" s="45"/>
      <c r="D2" s="45"/>
    </row>
    <row r="3" spans="1:10" x14ac:dyDescent="0.4">
      <c r="A3" s="25" t="s">
        <v>33</v>
      </c>
      <c r="B3" s="3">
        <v>45688</v>
      </c>
      <c r="C3" s="3">
        <v>45322</v>
      </c>
      <c r="D3" s="17" t="s">
        <v>31</v>
      </c>
      <c r="I3" s="14"/>
      <c r="J3" s="14"/>
    </row>
    <row r="4" spans="1:10" x14ac:dyDescent="0.4">
      <c r="A4" s="4" t="s">
        <v>11</v>
      </c>
      <c r="B4" s="5">
        <v>9037</v>
      </c>
      <c r="C4" s="5">
        <v>9867</v>
      </c>
      <c r="D4" s="18">
        <f>AVERAGE(B4:C4)</f>
        <v>9452</v>
      </c>
      <c r="I4" s="15"/>
      <c r="J4" s="15"/>
    </row>
    <row r="5" spans="1:10" x14ac:dyDescent="0.4">
      <c r="A5" s="4" t="s">
        <v>12</v>
      </c>
      <c r="B5" s="5">
        <v>9975</v>
      </c>
      <c r="C5" s="5">
        <v>8796</v>
      </c>
      <c r="D5" s="18">
        <f t="shared" ref="D5:D14" si="0">AVERAGE(B5:C5)</f>
        <v>9385.5</v>
      </c>
      <c r="I5" s="15"/>
    </row>
    <row r="6" spans="1:10" x14ac:dyDescent="0.4">
      <c r="A6" s="4" t="s">
        <v>13</v>
      </c>
      <c r="B6" s="5">
        <v>56435</v>
      </c>
      <c r="C6" s="5">
        <v>54892</v>
      </c>
      <c r="D6" s="18">
        <f t="shared" si="0"/>
        <v>55663.5</v>
      </c>
      <c r="I6" s="16"/>
    </row>
    <row r="7" spans="1:10" x14ac:dyDescent="0.4">
      <c r="A7" s="4" t="s">
        <v>14</v>
      </c>
      <c r="B7" s="6">
        <v>4011</v>
      </c>
      <c r="C7" s="6">
        <v>3322</v>
      </c>
      <c r="D7" s="19">
        <f t="shared" si="0"/>
        <v>3666.5</v>
      </c>
      <c r="I7" s="15"/>
      <c r="J7" s="15"/>
    </row>
    <row r="8" spans="1:10" x14ac:dyDescent="0.4">
      <c r="A8" s="9" t="s">
        <v>15</v>
      </c>
      <c r="B8" s="13">
        <v>79458</v>
      </c>
      <c r="C8" s="13">
        <v>76877</v>
      </c>
      <c r="D8" s="20">
        <f t="shared" si="0"/>
        <v>78167.5</v>
      </c>
    </row>
    <row r="9" spans="1:10" x14ac:dyDescent="0.4">
      <c r="A9" s="4" t="s">
        <v>16</v>
      </c>
      <c r="B9" s="5">
        <v>119993</v>
      </c>
      <c r="C9" s="5">
        <v>110810</v>
      </c>
      <c r="D9" s="18">
        <f t="shared" si="0"/>
        <v>115401.5</v>
      </c>
    </row>
    <row r="10" spans="1:10" x14ac:dyDescent="0.4">
      <c r="A10" s="4" t="s">
        <v>17</v>
      </c>
      <c r="B10" s="5">
        <v>13599</v>
      </c>
      <c r="C10" s="5">
        <v>13673</v>
      </c>
      <c r="D10" s="18">
        <f t="shared" si="0"/>
        <v>13636</v>
      </c>
    </row>
    <row r="11" spans="1:10" x14ac:dyDescent="0.4">
      <c r="A11" s="4" t="s">
        <v>18</v>
      </c>
      <c r="B11" s="5">
        <v>6112</v>
      </c>
      <c r="C11" s="5">
        <v>5855</v>
      </c>
      <c r="D11" s="18">
        <f t="shared" si="0"/>
        <v>5983.5</v>
      </c>
    </row>
    <row r="12" spans="1:10" x14ac:dyDescent="0.4">
      <c r="A12" s="4" t="s">
        <v>19</v>
      </c>
      <c r="B12" s="5">
        <v>28792</v>
      </c>
      <c r="C12" s="5">
        <v>28113</v>
      </c>
      <c r="D12" s="18">
        <f t="shared" si="0"/>
        <v>28452.5</v>
      </c>
    </row>
    <row r="13" spans="1:10" x14ac:dyDescent="0.4">
      <c r="A13" s="4" t="s">
        <v>20</v>
      </c>
      <c r="B13" s="7">
        <v>12869</v>
      </c>
      <c r="C13" s="7">
        <v>17071</v>
      </c>
      <c r="D13" s="21">
        <f t="shared" si="0"/>
        <v>14970</v>
      </c>
    </row>
    <row r="14" spans="1:10" ht="18" thickBot="1" x14ac:dyDescent="0.45">
      <c r="A14" s="9" t="s">
        <v>21</v>
      </c>
      <c r="B14" s="12">
        <v>260823</v>
      </c>
      <c r="C14" s="12">
        <v>252399</v>
      </c>
      <c r="D14" s="22">
        <f t="shared" si="0"/>
        <v>256611</v>
      </c>
    </row>
    <row r="15" spans="1:10" ht="18" thickTop="1" x14ac:dyDescent="0.4">
      <c r="A15" s="4" t="s">
        <v>22</v>
      </c>
      <c r="B15" s="8">
        <v>3068</v>
      </c>
      <c r="C15" s="8">
        <v>878</v>
      </c>
      <c r="D15" s="23">
        <f>AVERAGE(B15:C15)</f>
        <v>1973</v>
      </c>
    </row>
    <row r="16" spans="1:10" x14ac:dyDescent="0.4">
      <c r="A16" s="4" t="s">
        <v>23</v>
      </c>
      <c r="B16" s="8">
        <v>58666</v>
      </c>
      <c r="C16" s="8">
        <v>56812</v>
      </c>
      <c r="D16" s="23">
        <f t="shared" ref="D16:D32" si="1">AVERAGE(B16:C16)</f>
        <v>57739</v>
      </c>
    </row>
    <row r="17" spans="1:5" x14ac:dyDescent="0.4">
      <c r="A17" s="4" t="s">
        <v>24</v>
      </c>
      <c r="B17" s="8">
        <v>29345</v>
      </c>
      <c r="C17" s="8">
        <v>28759</v>
      </c>
      <c r="D17" s="23">
        <f t="shared" si="1"/>
        <v>29052</v>
      </c>
    </row>
    <row r="18" spans="1:5" x14ac:dyDescent="0.4">
      <c r="A18" s="4" t="s">
        <v>25</v>
      </c>
      <c r="B18" s="8">
        <v>608</v>
      </c>
      <c r="C18" s="8">
        <v>307</v>
      </c>
      <c r="D18" s="23">
        <f t="shared" si="1"/>
        <v>457.5</v>
      </c>
    </row>
    <row r="19" spans="1:5" x14ac:dyDescent="0.4">
      <c r="A19" s="4" t="s">
        <v>26</v>
      </c>
      <c r="B19" s="8">
        <v>2598</v>
      </c>
      <c r="C19" s="8">
        <v>3447</v>
      </c>
      <c r="D19" s="23">
        <f t="shared" si="1"/>
        <v>3022.5</v>
      </c>
    </row>
    <row r="20" spans="1:5" x14ac:dyDescent="0.4">
      <c r="A20" s="4" t="s">
        <v>29</v>
      </c>
      <c r="B20" s="8">
        <v>1499</v>
      </c>
      <c r="C20" s="8">
        <v>1487</v>
      </c>
      <c r="D20" s="23">
        <f t="shared" si="1"/>
        <v>1493</v>
      </c>
    </row>
    <row r="21" spans="1:5" x14ac:dyDescent="0.4">
      <c r="A21" s="4" t="s">
        <v>30</v>
      </c>
      <c r="B21" s="7">
        <v>800</v>
      </c>
      <c r="C21" s="7">
        <v>725</v>
      </c>
      <c r="D21" s="21">
        <f t="shared" si="1"/>
        <v>762.5</v>
      </c>
    </row>
    <row r="22" spans="1:5" x14ac:dyDescent="0.4">
      <c r="A22" s="9" t="s">
        <v>27</v>
      </c>
      <c r="B22" s="10">
        <v>96584</v>
      </c>
      <c r="C22" s="10">
        <v>92415</v>
      </c>
      <c r="D22" s="24">
        <f t="shared" si="1"/>
        <v>94499.5</v>
      </c>
    </row>
    <row r="23" spans="1:5" x14ac:dyDescent="0.4">
      <c r="A23" s="4" t="s">
        <v>55</v>
      </c>
      <c r="B23" s="8">
        <v>33401</v>
      </c>
      <c r="C23" s="8">
        <v>36132</v>
      </c>
      <c r="D23" s="23">
        <f t="shared" si="1"/>
        <v>34766.5</v>
      </c>
      <c r="E23" s="15"/>
    </row>
    <row r="24" spans="1:5" x14ac:dyDescent="0.4">
      <c r="A24" s="4" t="s">
        <v>56</v>
      </c>
      <c r="B24" s="8">
        <v>12825</v>
      </c>
      <c r="C24" s="8">
        <v>12943</v>
      </c>
      <c r="D24" s="23">
        <f t="shared" si="1"/>
        <v>12884</v>
      </c>
    </row>
    <row r="25" spans="1:5" x14ac:dyDescent="0.4">
      <c r="A25" s="4" t="s">
        <v>57</v>
      </c>
      <c r="B25" s="8">
        <v>5923</v>
      </c>
      <c r="C25" s="8">
        <v>5709</v>
      </c>
      <c r="D25" s="23">
        <f t="shared" si="1"/>
        <v>5816</v>
      </c>
    </row>
    <row r="26" spans="1:5" x14ac:dyDescent="0.4">
      <c r="A26" s="4" t="s">
        <v>58</v>
      </c>
      <c r="B26" s="8">
        <v>14398</v>
      </c>
      <c r="C26" s="8">
        <v>14629</v>
      </c>
      <c r="D26" s="23">
        <f t="shared" si="1"/>
        <v>14513.5</v>
      </c>
    </row>
    <row r="27" spans="1:5" x14ac:dyDescent="0.4">
      <c r="A27" s="4" t="s">
        <v>59</v>
      </c>
      <c r="B27" s="8">
        <v>271</v>
      </c>
      <c r="C27" s="8">
        <v>222</v>
      </c>
      <c r="D27" s="23">
        <f t="shared" si="1"/>
        <v>246.5</v>
      </c>
    </row>
    <row r="28" spans="1:5" x14ac:dyDescent="0.4">
      <c r="A28" s="4" t="s">
        <v>28</v>
      </c>
      <c r="B28" s="7">
        <v>97421</v>
      </c>
      <c r="C28" s="7">
        <v>90349</v>
      </c>
      <c r="D28" s="21">
        <f t="shared" si="1"/>
        <v>93885</v>
      </c>
    </row>
    <row r="29" spans="1:5" ht="18" thickBot="1" x14ac:dyDescent="0.45">
      <c r="A29" s="9" t="s">
        <v>32</v>
      </c>
      <c r="B29" s="12">
        <v>260823</v>
      </c>
      <c r="C29" s="12">
        <v>252399</v>
      </c>
      <c r="D29" s="22">
        <f t="shared" si="1"/>
        <v>256611</v>
      </c>
      <c r="E29" s="16"/>
    </row>
    <row r="30" spans="1:5" ht="18" thickTop="1" x14ac:dyDescent="0.4">
      <c r="A30" s="25" t="s">
        <v>62</v>
      </c>
    </row>
    <row r="31" spans="1:5" x14ac:dyDescent="0.4">
      <c r="A31" s="1" t="s">
        <v>60</v>
      </c>
      <c r="B31" s="8">
        <f>MAX(0,B4-'Walmart income statement'!B6*0.04)</f>
        <v>0</v>
      </c>
      <c r="C31" s="8">
        <f>MAX(0,C4-'Walmart income statement'!C6*0.04)</f>
        <v>0</v>
      </c>
      <c r="D31" s="23">
        <f t="shared" si="1"/>
        <v>0</v>
      </c>
    </row>
    <row r="32" spans="1:5" x14ac:dyDescent="0.4">
      <c r="A32" s="1" t="s">
        <v>75</v>
      </c>
      <c r="B32" s="8">
        <v>1013.6</v>
      </c>
      <c r="C32" s="8">
        <v>1015.3</v>
      </c>
      <c r="D32" s="23">
        <f t="shared" si="1"/>
        <v>1014.45</v>
      </c>
    </row>
    <row r="34" spans="1:1" x14ac:dyDescent="0.4">
      <c r="A34" s="43" t="s">
        <v>89</v>
      </c>
    </row>
  </sheetData>
  <mergeCells count="1">
    <mergeCell ref="B2:D2"/>
  </mergeCells>
  <hyperlinks>
    <hyperlink ref="A34" r:id="rId1" xr:uid="{36535F12-E011-4468-8E6C-6F4A77D4EA0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Ratios</vt:lpstr>
      <vt:lpstr>Costco income statement</vt:lpstr>
      <vt:lpstr>Costco balance sheet</vt:lpstr>
      <vt:lpstr>Walmart income statement</vt:lpstr>
      <vt:lpstr>Walmart 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Jones</dc:creator>
  <cp:lastModifiedBy>Stephen Jones</cp:lastModifiedBy>
  <dcterms:created xsi:type="dcterms:W3CDTF">2025-05-05T23:14:50Z</dcterms:created>
  <dcterms:modified xsi:type="dcterms:W3CDTF">2026-04-27T22:23:52Z</dcterms:modified>
</cp:coreProperties>
</file>